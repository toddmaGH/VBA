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3ae5107781a0af4/Desktop/todd/Excel Templates/"/>
    </mc:Choice>
  </mc:AlternateContent>
  <xr:revisionPtr revIDLastSave="0" documentId="8_{54AD0D31-5E69-4AD5-8B80-317E730AA68A}" xr6:coauthVersionLast="47" xr6:coauthVersionMax="47" xr10:uidLastSave="{00000000-0000-0000-0000-000000000000}"/>
  <bookViews>
    <workbookView xWindow="19090" yWindow="-50" windowWidth="19420" windowHeight="10300" xr2:uid="{4E724FBA-F21C-42E2-90A5-29DF417FA509}"/>
  </bookViews>
  <sheets>
    <sheet name="Budget" sheetId="1" r:id="rId1"/>
    <sheet name="form controls" sheetId="3" state="hidden" r:id="rId2"/>
    <sheet name="YearSpendatures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" i="4" l="1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" i="4"/>
  <c r="P3" i="4"/>
  <c r="P4" i="4"/>
  <c r="P5" i="4"/>
  <c r="O4" i="1"/>
  <c r="O5" i="1"/>
  <c r="O6" i="1"/>
  <c r="O7" i="1"/>
  <c r="O8" i="1"/>
  <c r="O9" i="1"/>
  <c r="O10" i="1"/>
  <c r="O11" i="1"/>
  <c r="O12" i="1"/>
  <c r="O13" i="1"/>
  <c r="O14" i="1"/>
  <c r="O3" i="1"/>
  <c r="N15" i="1"/>
  <c r="M15" i="1"/>
  <c r="E25" i="4"/>
  <c r="F25" i="4"/>
  <c r="G25" i="4"/>
  <c r="H25" i="4"/>
  <c r="I25" i="4"/>
  <c r="J25" i="4"/>
  <c r="K25" i="4"/>
  <c r="L25" i="4"/>
  <c r="M25" i="4"/>
  <c r="N25" i="4"/>
  <c r="O25" i="4"/>
  <c r="D25" i="4"/>
  <c r="E5" i="4"/>
  <c r="F5" i="4"/>
  <c r="G5" i="4"/>
  <c r="H5" i="4"/>
  <c r="I5" i="4"/>
  <c r="J5" i="4"/>
  <c r="K5" i="4"/>
  <c r="L5" i="4"/>
  <c r="M5" i="4"/>
  <c r="N5" i="4"/>
  <c r="O5" i="4"/>
  <c r="D5" i="4"/>
  <c r="K2" i="3"/>
  <c r="K3" i="3"/>
  <c r="K6" i="3"/>
  <c r="K7" i="3"/>
  <c r="K8" i="3"/>
  <c r="K10" i="3"/>
  <c r="K11" i="3"/>
  <c r="K12" i="3"/>
  <c r="K14" i="3"/>
  <c r="K15" i="3"/>
  <c r="K16" i="3"/>
  <c r="K18" i="3"/>
  <c r="K19" i="3"/>
  <c r="K20" i="3"/>
  <c r="K22" i="3"/>
  <c r="K23" i="3"/>
  <c r="K24" i="3"/>
  <c r="K26" i="3"/>
  <c r="K27" i="3"/>
  <c r="K28" i="3"/>
  <c r="K1" i="3"/>
  <c r="I2" i="3"/>
  <c r="I3" i="3"/>
  <c r="I6" i="3"/>
  <c r="I7" i="3"/>
  <c r="I8" i="3"/>
  <c r="I10" i="3"/>
  <c r="I11" i="3"/>
  <c r="I12" i="3"/>
  <c r="I14" i="3"/>
  <c r="I15" i="3"/>
  <c r="I16" i="3"/>
  <c r="I18" i="3"/>
  <c r="I19" i="3"/>
  <c r="I20" i="3"/>
  <c r="I22" i="3"/>
  <c r="I23" i="3"/>
  <c r="I24" i="3"/>
  <c r="I26" i="3"/>
  <c r="I27" i="3"/>
  <c r="I28" i="3"/>
  <c r="I1" i="3"/>
  <c r="H2" i="3"/>
  <c r="H3" i="3"/>
  <c r="H6" i="3"/>
  <c r="H7" i="3"/>
  <c r="H8" i="3"/>
  <c r="H10" i="3"/>
  <c r="H11" i="3"/>
  <c r="H12" i="3"/>
  <c r="H14" i="3"/>
  <c r="H15" i="3"/>
  <c r="H16" i="3"/>
  <c r="H18" i="3"/>
  <c r="H19" i="3"/>
  <c r="H20" i="3"/>
  <c r="H22" i="3"/>
  <c r="H23" i="3"/>
  <c r="H24" i="3"/>
  <c r="H26" i="3"/>
  <c r="H27" i="3"/>
  <c r="H28" i="3"/>
  <c r="H1" i="3"/>
  <c r="R1" i="1"/>
  <c r="E31" i="1"/>
  <c r="E6" i="1"/>
  <c r="I1" i="1"/>
  <c r="J1" i="1"/>
  <c r="P25" i="4" l="1"/>
  <c r="O15" i="1"/>
</calcChain>
</file>

<file path=xl/sharedStrings.xml><?xml version="1.0" encoding="utf-8"?>
<sst xmlns="http://schemas.openxmlformats.org/spreadsheetml/2006/main" count="186" uniqueCount="132">
  <si>
    <t>Income</t>
  </si>
  <si>
    <t>Monthly Total</t>
  </si>
  <si>
    <t>Total Income</t>
  </si>
  <si>
    <t>Expenses</t>
  </si>
  <si>
    <t>Mortgage Payment</t>
  </si>
  <si>
    <t>Utilities</t>
  </si>
  <si>
    <t>Groceries &amp; Household suplies</t>
  </si>
  <si>
    <t>Eating out - Takeout</t>
  </si>
  <si>
    <t>Other food expense</t>
  </si>
  <si>
    <t>Car insurance</t>
  </si>
  <si>
    <t>Medical Debt</t>
  </si>
  <si>
    <t>Other Unsecured Debt</t>
  </si>
  <si>
    <t xml:space="preserve">Clothing </t>
  </si>
  <si>
    <t>Entertainment</t>
  </si>
  <si>
    <t>Other Personal Costs</t>
  </si>
  <si>
    <t>Credit and Store Card Debt</t>
  </si>
  <si>
    <t>Total Monthly Expenses</t>
  </si>
  <si>
    <t>Exepenses</t>
  </si>
  <si>
    <t>Total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</si>
  <si>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</si>
  <si>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</si>
  <si>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</si>
  <si>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</si>
  <si>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</si>
  <si>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</si>
  <si>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</si>
  <si>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</si>
  <si>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</si>
  <si>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</si>
  <si>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</si>
  <si>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</si>
  <si>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Monthly Expenses</t>
  </si>
  <si>
    <r>
      <t xml:space="preserve">Other Income - </t>
    </r>
    <r>
      <rPr>
        <sz val="9"/>
        <color rgb="FFFF0000"/>
        <rFont val="Cambria"/>
        <family val="1"/>
      </rPr>
      <t>Incentives|Bonus|Tips</t>
    </r>
  </si>
  <si>
    <r>
      <t xml:space="preserve">Savings </t>
    </r>
    <r>
      <rPr>
        <sz val="9"/>
        <color rgb="FFFF0000"/>
        <rFont val="Cambria"/>
        <family val="1"/>
      </rPr>
      <t>(Emergency, Vacations etc.)</t>
    </r>
  </si>
  <si>
    <r>
      <t>Donations</t>
    </r>
    <r>
      <rPr>
        <sz val="9"/>
        <color rgb="FFFF0000"/>
        <rFont val="Cambria"/>
        <family val="1"/>
      </rPr>
      <t xml:space="preserve"> (Gifts, Tithes)</t>
    </r>
  </si>
  <si>
    <r>
      <t xml:space="preserve">Other Investments </t>
    </r>
    <r>
      <rPr>
        <sz val="9"/>
        <color rgb="FFFF0000"/>
        <rFont val="Cambria"/>
        <family val="1"/>
      </rPr>
      <t>(Property Insurance etc)</t>
    </r>
  </si>
  <si>
    <r>
      <t>Other home related expense</t>
    </r>
    <r>
      <rPr>
        <sz val="9"/>
        <color rgb="FFFF0000"/>
        <rFont val="Cambria"/>
        <family val="1"/>
      </rPr>
      <t xml:space="preserve"> (hoa, lawncare etc)</t>
    </r>
  </si>
  <si>
    <r>
      <t xml:space="preserve">Transportation </t>
    </r>
    <r>
      <rPr>
        <sz val="9"/>
        <color rgb="FFFF0000"/>
        <rFont val="Cambria"/>
        <family val="1"/>
      </rPr>
      <t>(Fuel other)</t>
    </r>
  </si>
  <si>
    <r>
      <t>Other transportation expenses</t>
    </r>
    <r>
      <rPr>
        <sz val="9"/>
        <color rgb="FFFF0000"/>
        <rFont val="Cambria"/>
        <family val="1"/>
      </rPr>
      <t xml:space="preserve"> (repairs etc)</t>
    </r>
  </si>
  <si>
    <r>
      <t xml:space="preserve">Monthly Take home 1st Income </t>
    </r>
    <r>
      <rPr>
        <sz val="9"/>
        <color rgb="FFFF0000"/>
        <rFont val="Cambria"/>
        <family val="1"/>
      </rPr>
      <t>(after tax)</t>
    </r>
  </si>
  <si>
    <r>
      <t xml:space="preserve">Monthly Take home 2nd Income </t>
    </r>
    <r>
      <rPr>
        <sz val="9"/>
        <color rgb="FFFF0000"/>
        <rFont val="Cambria"/>
        <family val="1"/>
      </rPr>
      <t>(after tax)</t>
    </r>
  </si>
  <si>
    <t>income1_txt</t>
  </si>
  <si>
    <t>income2_txt</t>
  </si>
  <si>
    <t>otherincome_txt</t>
  </si>
  <si>
    <t>savings_txt</t>
  </si>
  <si>
    <t>donations_txt</t>
  </si>
  <si>
    <t>Investments_txt</t>
  </si>
  <si>
    <t>mrtg_txt</t>
  </si>
  <si>
    <t>utility_txt</t>
  </si>
  <si>
    <t>otherexp_txt</t>
  </si>
  <si>
    <t>trans_txt</t>
  </si>
  <si>
    <t>carIns_txt</t>
  </si>
  <si>
    <t>other_trans_txt</t>
  </si>
  <si>
    <t>groceries_txt</t>
  </si>
  <si>
    <t>takeout_txt</t>
  </si>
  <si>
    <t>otherfood_txt</t>
  </si>
  <si>
    <t>credit_txt</t>
  </si>
  <si>
    <t>othercredit_txt</t>
  </si>
  <si>
    <t>medical_txt</t>
  </si>
  <si>
    <t>Medical Debt | Perescriptions</t>
  </si>
  <si>
    <t>cothing_txt</t>
  </si>
  <si>
    <t>entertainment_txt</t>
  </si>
  <si>
    <t>other_txt</t>
  </si>
  <si>
    <t>D3</t>
  </si>
  <si>
    <t>D4</t>
  </si>
  <si>
    <t>D5</t>
  </si>
  <si>
    <t>D8</t>
  </si>
  <si>
    <t>D9</t>
  </si>
  <si>
    <t>D10</t>
  </si>
  <si>
    <t>D12</t>
  </si>
  <si>
    <t>D13</t>
  </si>
  <si>
    <t>D14</t>
  </si>
  <si>
    <t>D16</t>
  </si>
  <si>
    <t>D17</t>
  </si>
  <si>
    <t>D18</t>
  </si>
  <si>
    <t>D20</t>
  </si>
  <si>
    <t>D21</t>
  </si>
  <si>
    <t>D22</t>
  </si>
  <si>
    <t>D24</t>
  </si>
  <si>
    <t>D25</t>
  </si>
  <si>
    <t>D26</t>
  </si>
  <si>
    <t>D28</t>
  </si>
  <si>
    <t>D29</t>
  </si>
  <si>
    <t>D30</t>
  </si>
  <si>
    <t xml:space="preserve">      Monthly Take home 1st Income</t>
  </si>
  <si>
    <t xml:space="preserve">      Monthly Take home 2nd Income</t>
  </si>
  <si>
    <t xml:space="preserve">      Other Income</t>
  </si>
  <si>
    <t xml:space="preserve">      Savings</t>
  </si>
  <si>
    <t xml:space="preserve">      Donations</t>
  </si>
  <si>
    <t xml:space="preserve">      Other Investments</t>
  </si>
  <si>
    <t xml:space="preserve">      Mortgage Payment</t>
  </si>
  <si>
    <t xml:space="preserve">      Utilities</t>
  </si>
  <si>
    <t xml:space="preserve">      Other home related expense</t>
  </si>
  <si>
    <t xml:space="preserve">      Transportation</t>
  </si>
  <si>
    <t xml:space="preserve">      Car insurance</t>
  </si>
  <si>
    <t xml:space="preserve">      Other transportation expenses</t>
  </si>
  <si>
    <t xml:space="preserve">      Groceries &amp; Household suplies</t>
  </si>
  <si>
    <t xml:space="preserve">      Eating out - Takeout</t>
  </si>
  <si>
    <t xml:space="preserve">      Other food expense</t>
  </si>
  <si>
    <t xml:space="preserve">      Credit and Store Card Debt</t>
  </si>
  <si>
    <t xml:space="preserve">      Medical Debt | Perescriptions</t>
  </si>
  <si>
    <t xml:space="preserve">      Other Unsecured Debt</t>
  </si>
  <si>
    <t xml:space="preserve">      Clothing </t>
  </si>
  <si>
    <t xml:space="preserve">      Entertainment</t>
  </si>
  <si>
    <t xml:space="preserve">      Other Personal Costs</t>
  </si>
  <si>
    <t>Total Expenses</t>
  </si>
  <si>
    <t>EOY Totals</t>
  </si>
  <si>
    <t>B2</t>
  </si>
  <si>
    <t>B3</t>
  </si>
  <si>
    <t>B4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</si>
  <si>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</si>
  <si>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</si>
  <si>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</si>
  <si>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</si>
  <si>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</si>
  <si>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</si>
  <si>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</si>
  <si>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</si>
  <si>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</si>
  <si>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</si>
  <si>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</si>
  <si>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</si>
  <si>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</si>
  <si>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</si>
  <si>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</si>
  <si>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</si>
  <si>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</si>
  <si>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</si>
  <si>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savings goal</t>
  </si>
  <si>
    <t>gsaving_lbl</t>
  </si>
  <si>
    <t>Savings Goal</t>
  </si>
  <si>
    <t>ytd_savings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</si>
</sst>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9" x14ac:knownFonts="1">
    <font>
      <sz val="11"/>
      <color theme="1"/>
      <name val="Calibri"/>
      <family val="2"/>
      <scheme val="minor"/>
    </font>
    <font>
      <sz val="8"/>
      <color rgb="FF454545"/>
      <name val="Courier New"/>
      <family val="3"/>
    </font>
    <font>
      <sz val="8"/>
      <name val="Calibri"/>
      <family val="2"/>
      <scheme val="minor"/>
    </font>
    <font>
      <b/>
      <i/>
      <sz val="9"/>
      <color theme="1"/>
      <name val="Cambria"/>
      <family val="1"/>
    </font>
    <font>
      <sz val="9"/>
      <color theme="1"/>
      <name val="Cambria"/>
      <family val="1"/>
    </font>
    <font>
      <b/>
      <sz val="9"/>
      <color theme="1"/>
      <name val="Cambria"/>
      <family val="1"/>
    </font>
    <font>
      <sz val="9"/>
      <color rgb="FFFF0000"/>
      <name val="Cambria"/>
      <family val="1"/>
    </font>
    <font>
      <sz val="9"/>
      <color theme="1"/>
      <name val="Calibri"/>
      <family val="2"/>
      <scheme val="minor"/>
    </font>
    <font>
      <sz val="9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5" fillId="2" borderId="0" xfId="0" applyFont="1" applyFill="1" applyAlignment="1">
      <alignment horizontal="center"/>
    </xf>
    <xf numFmtId="0" fontId="4" fillId="2" borderId="0" xfId="0" applyFont="1" applyFill="1"/>
    <xf numFmtId="0" fontId="4" fillId="2" borderId="0" xfId="0" applyFont="1" applyFill="1" applyAlignment="1">
      <alignment horizontal="center"/>
    </xf>
    <xf numFmtId="0" fontId="4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14" fontId="4" fillId="0" borderId="1" xfId="0" applyNumberFormat="1" applyFont="1" applyBorder="1" applyAlignment="1">
      <alignment horizontal="left"/>
    </xf>
    <xf numFmtId="0" fontId="0" fillId="0" borderId="0" xfId="0" applyAlignment="1">
      <alignment horizontal="right"/>
    </xf>
    <xf numFmtId="14" fontId="1" fillId="0" borderId="0" xfId="0" applyNumberFormat="1" applyFont="1"/>
    <xf numFmtId="0" fontId="4" fillId="0" borderId="4" xfId="0" applyFont="1" applyBorder="1"/>
    <xf numFmtId="0" fontId="4" fillId="0" borderId="2" xfId="0" applyFont="1" applyBorder="1"/>
    <xf numFmtId="4" fontId="4" fillId="0" borderId="2" xfId="0" applyNumberFormat="1" applyFont="1" applyBorder="1"/>
    <xf numFmtId="4" fontId="4" fillId="0" borderId="2" xfId="0" applyNumberFormat="1" applyFont="1" applyBorder="1" applyAlignment="1">
      <alignment horizontal="center"/>
    </xf>
    <xf numFmtId="0" fontId="4" fillId="0" borderId="1" xfId="0" applyFont="1" applyBorder="1"/>
    <xf numFmtId="4" fontId="4" fillId="0" borderId="1" xfId="0" applyNumberFormat="1" applyFont="1" applyBorder="1"/>
    <xf numFmtId="0" fontId="4" fillId="0" borderId="0" xfId="0" applyFont="1" applyAlignment="1">
      <alignment horizontal="right"/>
    </xf>
    <xf numFmtId="4" fontId="4" fillId="0" borderId="6" xfId="0" applyNumberFormat="1" applyFont="1" applyBorder="1" applyAlignment="1">
      <alignment horizontal="right"/>
    </xf>
    <xf numFmtId="4" fontId="4" fillId="0" borderId="7" xfId="0" applyNumberFormat="1" applyFont="1" applyBorder="1"/>
    <xf numFmtId="0" fontId="5" fillId="0" borderId="0" xfId="0" applyFont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6" xfId="0" applyFont="1" applyBorder="1" applyAlignment="1">
      <alignment horizontal="right"/>
    </xf>
    <xf numFmtId="0" fontId="4" fillId="0" borderId="7" xfId="0" applyFont="1" applyBorder="1"/>
    <xf numFmtId="0" fontId="4" fillId="0" borderId="1" xfId="0" applyFont="1" applyBorder="1" applyAlignment="1">
      <alignment horizontal="right"/>
    </xf>
    <xf numFmtId="0" fontId="4" fillId="0" borderId="0" xfId="0" applyFont="1" applyAlignment="1">
      <alignment horizontal="left"/>
    </xf>
    <xf numFmtId="0" fontId="5" fillId="0" borderId="2" xfId="0" applyFont="1" applyBorder="1" applyAlignment="1">
      <alignment horizontal="left"/>
    </xf>
    <xf numFmtId="40" fontId="7" fillId="0" borderId="0" xfId="0" applyNumberFormat="1" applyFont="1"/>
    <xf numFmtId="40" fontId="7" fillId="3" borderId="0" xfId="0" applyNumberFormat="1" applyFont="1" applyFill="1"/>
    <xf numFmtId="0" fontId="4" fillId="3" borderId="0" xfId="0" applyFont="1" applyFill="1" applyAlignment="1">
      <alignment horizontal="left"/>
    </xf>
    <xf numFmtId="0" fontId="5" fillId="4" borderId="0" xfId="0" applyFont="1" applyFill="1"/>
    <xf numFmtId="40" fontId="7" fillId="4" borderId="0" xfId="0" applyNumberFormat="1" applyFont="1" applyFill="1"/>
    <xf numFmtId="4" fontId="5" fillId="0" borderId="1" xfId="0" applyNumberFormat="1" applyFont="1" applyBorder="1"/>
    <xf numFmtId="0" fontId="0" fillId="0" borderId="0" xfId="0" quotePrefix="1"/>
    <xf numFmtId="0" fontId="5" fillId="0" borderId="1" xfId="0" applyFont="1" applyBorder="1" applyAlignment="1">
      <alignment horizontal="right"/>
    </xf>
    <xf numFmtId="4" fontId="4" fillId="0" borderId="0" xfId="0" applyNumberFormat="1" applyFont="1"/>
    <xf numFmtId="0" fontId="0" fillId="0" borderId="1" xfId="0" applyBorder="1" applyAlignment="1">
      <alignment horizontal="right"/>
    </xf>
    <xf numFmtId="4" fontId="4" fillId="0" borderId="2" xfId="0" applyNumberFormat="1" applyFont="1" applyBorder="1" applyAlignment="1">
      <alignment horizontal="right"/>
    </xf>
    <xf numFmtId="2" fontId="4" fillId="0" borderId="2" xfId="0" applyNumberFormat="1" applyFont="1" applyBorder="1" applyAlignment="1">
      <alignment horizontal="left"/>
    </xf>
    <xf numFmtId="0" fontId="4" fillId="3" borderId="0" xfId="0" applyFont="1" applyFill="1"/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4" fillId="0" borderId="2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Alignment="1">
      <alignment horizontal="center"/>
    </xf>
    <xf numFmtId="0" fontId="5" fillId="2" borderId="1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left"/>
    </xf>
    <xf numFmtId="0" fontId="5" fillId="3" borderId="0" xfId="0" applyFont="1" applyFill="1" applyAlignment="1">
      <alignment horizontal="left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F5F81199-1524-4386-B149-3670BACDDA65}"/>
  </tableStyles>
  <colors>
    <mruColors>
      <color rgb="FF2EF4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487680</xdr:colOff>
          <xdr:row>0</xdr:row>
          <xdr:rowOff>22860</xdr:rowOff>
        </xdr:from>
        <xdr:to>
          <xdr:col>18</xdr:col>
          <xdr:colOff>7620</xdr:colOff>
          <xdr:row>1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464820</xdr:colOff>
          <xdr:row>2</xdr:row>
          <xdr:rowOff>68580</xdr:rowOff>
        </xdr:from>
        <xdr:to>
          <xdr:col>18</xdr:col>
          <xdr:colOff>30480</xdr:colOff>
          <xdr:row>4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Yr Spendatures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169CC-523C-4A85-84E8-3E864CA0A8CB}">
  <sheetPr codeName="Sheet1"/>
  <dimension ref="A1:R40"/>
  <sheetViews>
    <sheetView showGridLines="0" tabSelected="1" workbookViewId="0">
      <selection activeCell="M17" sqref="M17"/>
    </sheetView>
  </sheetViews>
  <sheetFormatPr defaultRowHeight="14.4" x14ac:dyDescent="0.3"/>
  <cols>
    <col min="1" max="1" width="9.33203125" customWidth="1"/>
    <col min="2" max="2" width="26.5546875" customWidth="1"/>
    <col min="3" max="3" width="3.5546875" customWidth="1"/>
    <col min="4" max="4" width="19.6640625" style="8" customWidth="1"/>
    <col min="5" max="5" width="8.5546875" customWidth="1"/>
    <col min="9" max="11" width="0" hidden="1" customWidth="1"/>
    <col min="12" max="12" width="13" customWidth="1"/>
    <col min="14" max="14" width="10.88671875" customWidth="1"/>
    <col min="18" max="18" width="0" hidden="1" customWidth="1"/>
  </cols>
  <sheetData>
    <row r="1" spans="1:18" ht="15" thickBot="1" x14ac:dyDescent="0.35">
      <c r="A1" s="7" t="s">
        <v>25</v>
      </c>
      <c r="I1" s="9" t="str">
        <f>A1</f>
        <v>July</v>
      </c>
      <c r="J1" t="str">
        <f>TEXT(A1,"mmmm")</f>
        <v>July</v>
      </c>
      <c r="M1" s="52" t="s">
        <v>31</v>
      </c>
      <c r="N1" s="52"/>
      <c r="O1" s="53"/>
      <c r="R1" t="str">
        <f>TEXT(A1,"mmm")</f>
        <v>July</v>
      </c>
    </row>
    <row r="2" spans="1:18" ht="15" thickBot="1" x14ac:dyDescent="0.35">
      <c r="A2" s="40" t="s">
        <v>0</v>
      </c>
      <c r="B2" s="41"/>
      <c r="C2" s="10"/>
      <c r="D2" s="42" t="s">
        <v>1</v>
      </c>
      <c r="E2" s="43"/>
      <c r="M2" s="5" t="s">
        <v>0</v>
      </c>
      <c r="N2" s="5" t="s">
        <v>17</v>
      </c>
      <c r="O2" s="5" t="s">
        <v>18</v>
      </c>
    </row>
    <row r="3" spans="1:18" x14ac:dyDescent="0.3">
      <c r="A3" s="44" t="s">
        <v>39</v>
      </c>
      <c r="B3" s="44"/>
      <c r="C3" s="11"/>
      <c r="D3" s="37">
        <v>3157.4</v>
      </c>
      <c r="E3" s="12"/>
      <c r="L3" s="4" t="s">
        <v>19</v>
      </c>
      <c r="M3" s="38">
        <v>6421.05</v>
      </c>
      <c r="N3" s="38">
        <v>9585</v>
      </c>
      <c r="O3" s="38">
        <f>M3-N3</f>
        <v>-3163.95</v>
      </c>
    </row>
    <row r="4" spans="1:18" x14ac:dyDescent="0.3">
      <c r="A4" s="46" t="s">
        <v>40</v>
      </c>
      <c r="B4" s="47"/>
      <c r="C4" s="11"/>
      <c r="D4" s="37">
        <v>2963.65</v>
      </c>
      <c r="E4" s="13"/>
      <c r="L4" s="6" t="s">
        <v>20</v>
      </c>
      <c r="M4" s="38">
        <v>6421.05</v>
      </c>
      <c r="N4" s="38">
        <v>8810</v>
      </c>
      <c r="O4" s="38">
        <f t="shared" ref="O4:O14" si="0">M4-N4</f>
        <v>-2388.9499999999998</v>
      </c>
    </row>
    <row r="5" spans="1:18" x14ac:dyDescent="0.3">
      <c r="A5" s="45" t="s">
        <v>32</v>
      </c>
      <c r="B5" s="45"/>
      <c r="C5" s="14"/>
      <c r="D5" s="15">
        <v>300</v>
      </c>
      <c r="E5" s="15"/>
      <c r="L5" s="6" t="s">
        <v>21</v>
      </c>
      <c r="M5" s="38">
        <v>6421.05</v>
      </c>
      <c r="N5" s="38">
        <v>3998</v>
      </c>
      <c r="O5" s="38">
        <f t="shared" si="0"/>
        <v>2423.0500000000002</v>
      </c>
    </row>
    <row r="6" spans="1:18" x14ac:dyDescent="0.3">
      <c r="A6" s="48" t="s">
        <v>2</v>
      </c>
      <c r="B6" s="48"/>
      <c r="C6" s="14"/>
      <c r="D6" s="16"/>
      <c r="E6" s="32">
        <f>SUM(D3:D5)</f>
        <v>6421.05</v>
      </c>
      <c r="L6" s="6" t="s">
        <v>22</v>
      </c>
      <c r="M6" s="38">
        <v>6421.05</v>
      </c>
      <c r="N6" s="38">
        <v>5873</v>
      </c>
      <c r="O6" s="38">
        <f t="shared" si="0"/>
        <v>548.05000000000018</v>
      </c>
    </row>
    <row r="7" spans="1:18" x14ac:dyDescent="0.3">
      <c r="A7" s="49" t="s">
        <v>3</v>
      </c>
      <c r="B7" s="49"/>
      <c r="C7" s="14"/>
      <c r="D7" s="49" t="s">
        <v>1</v>
      </c>
      <c r="E7" s="49"/>
      <c r="L7" s="6" t="s">
        <v>23</v>
      </c>
      <c r="M7" s="38">
        <v>6421.05</v>
      </c>
      <c r="N7" s="38">
        <v>14003</v>
      </c>
      <c r="O7" s="38">
        <f t="shared" si="0"/>
        <v>-7581.95</v>
      </c>
    </row>
    <row r="8" spans="1:18" x14ac:dyDescent="0.3">
      <c r="A8" s="45" t="s">
        <v>33</v>
      </c>
      <c r="B8" s="45"/>
      <c r="C8" s="14"/>
      <c r="D8" s="36"/>
      <c r="E8" s="18"/>
      <c r="L8" s="6" t="s">
        <v>24</v>
      </c>
      <c r="M8" s="38">
        <v>6421.05</v>
      </c>
      <c r="N8" s="38">
        <v>7003</v>
      </c>
      <c r="O8" s="38">
        <f t="shared" si="0"/>
        <v>-581.94999999999982</v>
      </c>
    </row>
    <row r="9" spans="1:18" x14ac:dyDescent="0.3">
      <c r="A9" s="45" t="s">
        <v>34</v>
      </c>
      <c r="B9" s="45"/>
      <c r="C9" s="14"/>
      <c r="D9" s="36"/>
      <c r="E9" s="18"/>
      <c r="L9" s="6" t="s">
        <v>25</v>
      </c>
      <c r="M9" s="38">
        <v>6421.05</v>
      </c>
      <c r="N9" s="6"/>
      <c r="O9" s="38">
        <f t="shared" si="0"/>
        <v>6421.05</v>
      </c>
    </row>
    <row r="10" spans="1:18" x14ac:dyDescent="0.3">
      <c r="A10" s="45" t="s">
        <v>35</v>
      </c>
      <c r="B10" s="45"/>
      <c r="C10" s="14"/>
      <c r="D10" s="36"/>
      <c r="E10" s="18"/>
      <c r="L10" s="6" t="s">
        <v>26</v>
      </c>
      <c r="M10" s="6"/>
      <c r="N10" s="6"/>
      <c r="O10" s="38">
        <f t="shared" si="0"/>
        <v>0</v>
      </c>
    </row>
    <row r="11" spans="1:18" x14ac:dyDescent="0.3">
      <c r="A11" s="19"/>
      <c r="B11" s="20"/>
      <c r="C11" s="20"/>
      <c r="D11" s="16"/>
      <c r="E11" s="20"/>
      <c r="L11" s="6" t="s">
        <v>27</v>
      </c>
      <c r="M11" s="6"/>
      <c r="N11" s="6"/>
      <c r="O11" s="38">
        <f t="shared" si="0"/>
        <v>0</v>
      </c>
    </row>
    <row r="12" spans="1:18" x14ac:dyDescent="0.3">
      <c r="A12" s="45" t="s">
        <v>4</v>
      </c>
      <c r="B12" s="45"/>
      <c r="C12" s="14"/>
      <c r="D12" s="17">
        <v>2961.68</v>
      </c>
      <c r="E12" s="18"/>
      <c r="L12" s="6" t="s">
        <v>28</v>
      </c>
      <c r="M12" s="6"/>
      <c r="N12" s="6"/>
      <c r="O12" s="38">
        <f t="shared" si="0"/>
        <v>0</v>
      </c>
    </row>
    <row r="13" spans="1:18" x14ac:dyDescent="0.3">
      <c r="A13" s="45" t="s">
        <v>5</v>
      </c>
      <c r="B13" s="45"/>
      <c r="C13" s="14"/>
      <c r="D13" s="17">
        <v>305</v>
      </c>
      <c r="E13" s="18"/>
      <c r="L13" s="6" t="s">
        <v>29</v>
      </c>
      <c r="M13" s="6"/>
      <c r="N13" s="6"/>
      <c r="O13" s="38">
        <f t="shared" si="0"/>
        <v>0</v>
      </c>
    </row>
    <row r="14" spans="1:18" x14ac:dyDescent="0.3">
      <c r="A14" s="45" t="s">
        <v>36</v>
      </c>
      <c r="B14" s="45"/>
      <c r="C14" s="14"/>
      <c r="D14" s="17">
        <v>34.75</v>
      </c>
      <c r="E14" s="18"/>
      <c r="L14" s="6" t="s">
        <v>30</v>
      </c>
      <c r="M14" s="6"/>
      <c r="N14" s="6"/>
      <c r="O14" s="38">
        <f t="shared" si="0"/>
        <v>0</v>
      </c>
    </row>
    <row r="15" spans="1:18" x14ac:dyDescent="0.3">
      <c r="A15" s="21"/>
      <c r="B15" s="20"/>
      <c r="C15" s="20"/>
      <c r="D15" s="16"/>
      <c r="E15" s="20"/>
      <c r="L15" s="34" t="s">
        <v>18</v>
      </c>
      <c r="M15" s="26">
        <f>SUM(M$3:M$14)</f>
        <v>44947.350000000006</v>
      </c>
      <c r="N15" s="26">
        <f t="shared" ref="N15:O15" si="1">SUM(N$3:N$14)</f>
        <v>49272</v>
      </c>
      <c r="O15" s="26">
        <f t="shared" si="1"/>
        <v>-4324.6500000000005</v>
      </c>
    </row>
    <row r="16" spans="1:18" x14ac:dyDescent="0.3">
      <c r="A16" s="45" t="s">
        <v>37</v>
      </c>
      <c r="B16" s="45"/>
      <c r="C16" s="14"/>
      <c r="D16" s="17">
        <v>80</v>
      </c>
      <c r="E16" s="18"/>
    </row>
    <row r="17" spans="1:14" x14ac:dyDescent="0.3">
      <c r="A17" s="45" t="s">
        <v>9</v>
      </c>
      <c r="B17" s="45"/>
      <c r="C17" s="14"/>
      <c r="D17" s="17">
        <v>132.09</v>
      </c>
      <c r="E17" s="18"/>
      <c r="L17" s="4" t="s">
        <v>130</v>
      </c>
      <c r="M17" s="15">
        <v>5000</v>
      </c>
      <c r="N17" s="25"/>
    </row>
    <row r="18" spans="1:14" x14ac:dyDescent="0.3">
      <c r="A18" s="45" t="s">
        <v>38</v>
      </c>
      <c r="B18" s="45"/>
      <c r="C18" s="14"/>
      <c r="D18" s="17">
        <v>1152</v>
      </c>
      <c r="E18" s="18"/>
      <c r="L18" s="25"/>
    </row>
    <row r="19" spans="1:14" x14ac:dyDescent="0.3">
      <c r="A19" s="50"/>
      <c r="B19" s="51"/>
      <c r="C19" s="14"/>
      <c r="D19" s="22"/>
      <c r="E19" s="23"/>
      <c r="L19" s="25"/>
      <c r="M19" s="35"/>
    </row>
    <row r="20" spans="1:14" x14ac:dyDescent="0.3">
      <c r="A20" s="45" t="s">
        <v>6</v>
      </c>
      <c r="B20" s="45"/>
      <c r="C20" s="14"/>
      <c r="D20" s="17">
        <v>400</v>
      </c>
      <c r="E20" s="18"/>
      <c r="L20" s="25"/>
    </row>
    <row r="21" spans="1:14" x14ac:dyDescent="0.3">
      <c r="A21" s="45" t="s">
        <v>7</v>
      </c>
      <c r="B21" s="45"/>
      <c r="C21" s="14"/>
      <c r="D21" s="17">
        <v>583</v>
      </c>
      <c r="E21" s="18"/>
    </row>
    <row r="22" spans="1:14" x14ac:dyDescent="0.3">
      <c r="A22" s="45" t="s">
        <v>8</v>
      </c>
      <c r="B22" s="45"/>
      <c r="C22" s="14"/>
      <c r="D22" s="17">
        <v>80</v>
      </c>
      <c r="E22" s="18"/>
    </row>
    <row r="23" spans="1:14" x14ac:dyDescent="0.3">
      <c r="A23" s="50"/>
      <c r="B23" s="51"/>
      <c r="C23" s="14"/>
      <c r="D23" s="22"/>
      <c r="E23" s="23"/>
    </row>
    <row r="24" spans="1:14" x14ac:dyDescent="0.3">
      <c r="A24" s="45" t="s">
        <v>15</v>
      </c>
      <c r="B24" s="45"/>
      <c r="C24" s="14"/>
      <c r="D24" s="17"/>
      <c r="E24" s="18"/>
    </row>
    <row r="25" spans="1:14" x14ac:dyDescent="0.3">
      <c r="A25" s="45" t="s">
        <v>10</v>
      </c>
      <c r="B25" s="45"/>
      <c r="C25" s="14"/>
      <c r="D25" s="17"/>
      <c r="E25" s="18"/>
    </row>
    <row r="26" spans="1:14" x14ac:dyDescent="0.3">
      <c r="A26" s="45" t="s">
        <v>11</v>
      </c>
      <c r="B26" s="45"/>
      <c r="C26" s="14"/>
      <c r="D26" s="17"/>
      <c r="E26" s="18"/>
    </row>
    <row r="27" spans="1:14" x14ac:dyDescent="0.3">
      <c r="A27" s="50"/>
      <c r="B27" s="51"/>
      <c r="C27" s="14"/>
      <c r="D27" s="22"/>
      <c r="E27" s="23"/>
    </row>
    <row r="28" spans="1:14" x14ac:dyDescent="0.3">
      <c r="A28" s="45" t="s">
        <v>12</v>
      </c>
      <c r="B28" s="45"/>
      <c r="C28" s="14"/>
      <c r="D28" s="17"/>
      <c r="E28" s="18"/>
    </row>
    <row r="29" spans="1:14" x14ac:dyDescent="0.3">
      <c r="A29" s="45" t="s">
        <v>13</v>
      </c>
      <c r="B29" s="45"/>
      <c r="C29" s="14"/>
      <c r="D29" s="17">
        <v>62.8</v>
      </c>
      <c r="E29" s="18"/>
    </row>
    <row r="30" spans="1:14" x14ac:dyDescent="0.3">
      <c r="A30" s="45" t="s">
        <v>14</v>
      </c>
      <c r="B30" s="45"/>
      <c r="C30" s="14"/>
      <c r="D30" s="17"/>
      <c r="E30" s="18"/>
    </row>
    <row r="31" spans="1:14" x14ac:dyDescent="0.3">
      <c r="A31" s="48" t="s">
        <v>16</v>
      </c>
      <c r="B31" s="48"/>
      <c r="C31" s="14"/>
      <c r="D31" s="24"/>
      <c r="E31" s="32">
        <f>SUM(D11:D30)</f>
        <v>5791.3200000000006</v>
      </c>
    </row>
    <row r="36" spans="1:5" x14ac:dyDescent="0.3">
      <c r="A36" s="54"/>
      <c r="B36" s="54"/>
      <c r="D36" s="54"/>
      <c r="E36" s="54"/>
    </row>
    <row r="40" spans="1:5" x14ac:dyDescent="0.3">
      <c r="A40" s="54"/>
      <c r="B40" s="54"/>
      <c r="D40" s="54"/>
      <c r="E40" s="54"/>
    </row>
  </sheetData>
  <mergeCells count="35">
    <mergeCell ref="M1:O1"/>
    <mergeCell ref="A31:B31"/>
    <mergeCell ref="A19:B19"/>
    <mergeCell ref="A23:B23"/>
    <mergeCell ref="A40:B40"/>
    <mergeCell ref="D40:E40"/>
    <mergeCell ref="D36:E36"/>
    <mergeCell ref="A25:B25"/>
    <mergeCell ref="A26:B26"/>
    <mergeCell ref="A17:B17"/>
    <mergeCell ref="A18:B18"/>
    <mergeCell ref="A24:B24"/>
    <mergeCell ref="A36:B36"/>
    <mergeCell ref="A13:B13"/>
    <mergeCell ref="A14:B14"/>
    <mergeCell ref="A29:B29"/>
    <mergeCell ref="A30:B30"/>
    <mergeCell ref="A28:B28"/>
    <mergeCell ref="A27:B27"/>
    <mergeCell ref="A20:B20"/>
    <mergeCell ref="A21:B21"/>
    <mergeCell ref="A22:B22"/>
    <mergeCell ref="A6:B6"/>
    <mergeCell ref="A16:B16"/>
    <mergeCell ref="A7:B7"/>
    <mergeCell ref="D7:E7"/>
    <mergeCell ref="A8:B8"/>
    <mergeCell ref="A9:B9"/>
    <mergeCell ref="A10:B10"/>
    <mergeCell ref="A12:B12"/>
    <mergeCell ref="A2:B2"/>
    <mergeCell ref="D2:E2"/>
    <mergeCell ref="A3:B3"/>
    <mergeCell ref="A5:B5"/>
    <mergeCell ref="A4:B4"/>
  </mergeCells>
  <phoneticPr fontId="2" type="noConversion"/>
  <conditionalFormatting sqref="N18">
    <cfRule type="iconSet" priority="7">
      <iconSet iconSet="3Symbols">
        <cfvo type="percent" val="0"/>
        <cfvo type="percent" val="33"/>
        <cfvo type="percent" val="67"/>
      </iconSet>
    </cfRule>
  </conditionalFormatting>
  <conditionalFormatting sqref="M4:M14">
    <cfRule type="iconSet" priority="3">
      <iconSet iconSet="3Arrows">
        <cfvo type="percent" val="0"/>
        <cfvo type="formula" val="$M$3"/>
        <cfvo type="formula" val="$M$3" gte="0"/>
      </iconSet>
    </cfRule>
  </conditionalFormatting>
  <conditionalFormatting sqref="N4:N14">
    <cfRule type="iconSet" priority="2">
      <iconSet iconSet="3Arrows">
        <cfvo type="percent" val="0"/>
        <cfvo type="formula" val="$N$3"/>
        <cfvo type="formula" val="$N$3" gte="0"/>
      </iconSet>
    </cfRule>
  </conditionalFormatting>
  <conditionalFormatting sqref="O4:O14">
    <cfRule type="iconSet" priority="1">
      <iconSet iconSet="3Arrows">
        <cfvo type="percent" val="0"/>
        <cfvo type="formula" val="$O$3"/>
        <cfvo type="formula" val="$O$3" gte="0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utton1_Click">
                <anchor moveWithCells="1" sizeWithCells="1">
                  <from>
                    <xdr:col>15</xdr:col>
                    <xdr:colOff>487680</xdr:colOff>
                    <xdr:row>0</xdr:row>
                    <xdr:rowOff>22860</xdr:rowOff>
                  </from>
                  <to>
                    <xdr:col>18</xdr:col>
                    <xdr:colOff>7620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15</xdr:col>
                    <xdr:colOff>464820</xdr:colOff>
                    <xdr:row>2</xdr:row>
                    <xdr:rowOff>68580</xdr:rowOff>
                  </from>
                  <to>
                    <xdr:col>18</xdr:col>
                    <xdr:colOff>30480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1D695-8210-40B8-9139-08CA09DD8496}">
  <sheetPr codeName="Sheet2"/>
  <dimension ref="A1:K33"/>
  <sheetViews>
    <sheetView topLeftCell="A17" workbookViewId="0">
      <selection activeCell="C33" sqref="C33"/>
    </sheetView>
  </sheetViews>
  <sheetFormatPr defaultRowHeight="14.4" x14ac:dyDescent="0.3"/>
  <cols>
    <col min="3" max="3" width="11.88671875" customWidth="1"/>
    <col min="4" max="4" width="41.5546875" customWidth="1"/>
    <col min="5" max="5" width="18.109375" customWidth="1"/>
    <col min="8" max="8" width="24.77734375" customWidth="1"/>
    <col min="9" max="9" width="33" customWidth="1"/>
  </cols>
  <sheetData>
    <row r="1" spans="1:11" x14ac:dyDescent="0.3">
      <c r="A1" t="s">
        <v>19</v>
      </c>
      <c r="C1" s="44" t="s">
        <v>39</v>
      </c>
      <c r="D1" s="44"/>
      <c r="E1" t="s">
        <v>41</v>
      </c>
      <c r="F1" t="s">
        <v>63</v>
      </c>
      <c r="G1" t="s">
        <v>107</v>
      </c>
      <c r="H1" t="str">
        <f>"ws..Budget.cell"&amp;" "&amp;F1&amp;" "&amp;".value"</f>
        <v>ws..Budget.cell D3 .value</v>
      </c>
      <c r="I1" t="str">
        <f>"ws.YearSpendatures.cell"&amp;" "&amp;G1&amp;" "&amp;".value"</f>
        <v>ws.YearSpendatures.cell B2 .value</v>
      </c>
      <c r="K1" t="str">
        <f>I1&amp;" "&amp;"="&amp;" "&amp;H1</f>
        <v>ws.YearSpendatures.cell B2 .value = ws..Budget.cell D3 .value</v>
      </c>
    </row>
    <row r="2" spans="1:11" x14ac:dyDescent="0.3">
      <c r="A2" t="s">
        <v>20</v>
      </c>
      <c r="C2" s="46" t="s">
        <v>40</v>
      </c>
      <c r="D2" s="47"/>
      <c r="E2" t="s">
        <v>42</v>
      </c>
      <c r="F2" t="s">
        <v>64</v>
      </c>
      <c r="G2" t="s">
        <v>108</v>
      </c>
      <c r="H2" t="str">
        <f t="shared" ref="H2:H28" si="0">"ws..Budget.cell"&amp;" "&amp;F2&amp;" "&amp;".value"</f>
        <v>ws..Budget.cell D4 .value</v>
      </c>
      <c r="I2" t="str">
        <f t="shared" ref="I2:I28" si="1">"ws.YearSpendatures.cell"&amp;" "&amp;G2&amp;" "&amp;".value"</f>
        <v>ws.YearSpendatures.cell B3 .value</v>
      </c>
      <c r="K2" t="str">
        <f t="shared" ref="K2:K28" si="2">I2&amp;" "&amp;"="&amp;" "&amp;H2</f>
        <v>ws.YearSpendatures.cell B3 .value = ws..Budget.cell D4 .value</v>
      </c>
    </row>
    <row r="3" spans="1:11" x14ac:dyDescent="0.3">
      <c r="A3" t="s">
        <v>21</v>
      </c>
      <c r="C3" s="45" t="s">
        <v>32</v>
      </c>
      <c r="D3" s="45"/>
      <c r="E3" t="s">
        <v>43</v>
      </c>
      <c r="F3" t="s">
        <v>65</v>
      </c>
      <c r="G3" t="s">
        <v>109</v>
      </c>
      <c r="H3" t="str">
        <f t="shared" si="0"/>
        <v>ws..Budget.cell D5 .value</v>
      </c>
      <c r="I3" t="str">
        <f t="shared" si="1"/>
        <v>ws.YearSpendatures.cell B4 .value</v>
      </c>
      <c r="K3" t="str">
        <f t="shared" si="2"/>
        <v>ws.YearSpendatures.cell B4 .value = ws..Budget.cell D5 .value</v>
      </c>
    </row>
    <row r="4" spans="1:11" x14ac:dyDescent="0.3">
      <c r="A4" t="s">
        <v>22</v>
      </c>
      <c r="C4" s="48" t="s">
        <v>2</v>
      </c>
      <c r="D4" s="48"/>
    </row>
    <row r="5" spans="1:11" x14ac:dyDescent="0.3">
      <c r="A5" t="s">
        <v>23</v>
      </c>
      <c r="C5" s="55" t="s">
        <v>3</v>
      </c>
      <c r="D5" s="55"/>
    </row>
    <row r="6" spans="1:11" x14ac:dyDescent="0.3">
      <c r="A6" t="s">
        <v>24</v>
      </c>
      <c r="C6" s="45" t="s">
        <v>33</v>
      </c>
      <c r="D6" s="45"/>
      <c r="E6" t="s">
        <v>44</v>
      </c>
      <c r="F6" t="s">
        <v>66</v>
      </c>
      <c r="G6" t="s">
        <v>110</v>
      </c>
      <c r="H6" t="str">
        <f t="shared" si="0"/>
        <v>ws..Budget.cell D8 .value</v>
      </c>
      <c r="I6" t="str">
        <f t="shared" si="1"/>
        <v>ws.YearSpendatures.cell B7 .value</v>
      </c>
      <c r="K6" t="str">
        <f t="shared" si="2"/>
        <v>ws.YearSpendatures.cell B7 .value = ws..Budget.cell D8 .value</v>
      </c>
    </row>
    <row r="7" spans="1:11" x14ac:dyDescent="0.3">
      <c r="A7" t="s">
        <v>25</v>
      </c>
      <c r="C7" s="45" t="s">
        <v>34</v>
      </c>
      <c r="D7" s="45"/>
      <c r="E7" t="s">
        <v>45</v>
      </c>
      <c r="F7" t="s">
        <v>67</v>
      </c>
      <c r="G7" t="s">
        <v>111</v>
      </c>
      <c r="H7" t="str">
        <f t="shared" si="0"/>
        <v>ws..Budget.cell D9 .value</v>
      </c>
      <c r="I7" t="str">
        <f t="shared" si="1"/>
        <v>ws.YearSpendatures.cell B8 .value</v>
      </c>
      <c r="K7" t="str">
        <f t="shared" si="2"/>
        <v>ws.YearSpendatures.cell B8 .value = ws..Budget.cell D9 .value</v>
      </c>
    </row>
    <row r="8" spans="1:11" x14ac:dyDescent="0.3">
      <c r="A8" t="s">
        <v>26</v>
      </c>
      <c r="C8" s="45" t="s">
        <v>35</v>
      </c>
      <c r="D8" s="45"/>
      <c r="E8" t="s">
        <v>46</v>
      </c>
      <c r="F8" t="s">
        <v>68</v>
      </c>
      <c r="G8" t="s">
        <v>112</v>
      </c>
      <c r="H8" t="str">
        <f t="shared" si="0"/>
        <v>ws..Budget.cell D10 .value</v>
      </c>
      <c r="I8" t="str">
        <f t="shared" si="1"/>
        <v>ws.YearSpendatures.cell B9 .value</v>
      </c>
      <c r="K8" t="str">
        <f t="shared" si="2"/>
        <v>ws.YearSpendatures.cell B9 .value = ws..Budget.cell D10 .value</v>
      </c>
    </row>
    <row r="9" spans="1:11" x14ac:dyDescent="0.3">
      <c r="A9" t="s">
        <v>27</v>
      </c>
      <c r="C9" s="1"/>
      <c r="D9" s="2"/>
    </row>
    <row r="10" spans="1:11" x14ac:dyDescent="0.3">
      <c r="A10" t="s">
        <v>28</v>
      </c>
      <c r="C10" s="45" t="s">
        <v>4</v>
      </c>
      <c r="D10" s="45"/>
      <c r="E10" t="s">
        <v>47</v>
      </c>
      <c r="F10" t="s">
        <v>69</v>
      </c>
      <c r="G10" t="s">
        <v>113</v>
      </c>
      <c r="H10" t="str">
        <f t="shared" si="0"/>
        <v>ws..Budget.cell D12 .value</v>
      </c>
      <c r="I10" t="str">
        <f t="shared" si="1"/>
        <v>ws.YearSpendatures.cell B10 .value</v>
      </c>
      <c r="K10" t="str">
        <f t="shared" si="2"/>
        <v>ws.YearSpendatures.cell B10 .value = ws..Budget.cell D12 .value</v>
      </c>
    </row>
    <row r="11" spans="1:11" x14ac:dyDescent="0.3">
      <c r="A11" t="s">
        <v>29</v>
      </c>
      <c r="C11" s="45" t="s">
        <v>5</v>
      </c>
      <c r="D11" s="45"/>
      <c r="E11" t="s">
        <v>48</v>
      </c>
      <c r="F11" t="s">
        <v>70</v>
      </c>
      <c r="G11" t="s">
        <v>114</v>
      </c>
      <c r="H11" t="str">
        <f t="shared" si="0"/>
        <v>ws..Budget.cell D13 .value</v>
      </c>
      <c r="I11" t="str">
        <f t="shared" si="1"/>
        <v>ws.YearSpendatures.cell B11 .value</v>
      </c>
      <c r="K11" t="str">
        <f t="shared" si="2"/>
        <v>ws.YearSpendatures.cell B11 .value = ws..Budget.cell D13 .value</v>
      </c>
    </row>
    <row r="12" spans="1:11" x14ac:dyDescent="0.3">
      <c r="A12" t="s">
        <v>30</v>
      </c>
      <c r="C12" s="45" t="s">
        <v>36</v>
      </c>
      <c r="D12" s="45"/>
      <c r="E12" t="s">
        <v>49</v>
      </c>
      <c r="F12" t="s">
        <v>71</v>
      </c>
      <c r="G12" t="s">
        <v>115</v>
      </c>
      <c r="H12" t="str">
        <f t="shared" si="0"/>
        <v>ws..Budget.cell D14 .value</v>
      </c>
      <c r="I12" t="str">
        <f t="shared" si="1"/>
        <v>ws.YearSpendatures.cell B12 .value</v>
      </c>
      <c r="K12" t="str">
        <f t="shared" si="2"/>
        <v>ws.YearSpendatures.cell B12 .value = ws..Budget.cell D14 .value</v>
      </c>
    </row>
    <row r="13" spans="1:11" x14ac:dyDescent="0.3">
      <c r="C13" s="3"/>
      <c r="D13" s="2"/>
    </row>
    <row r="14" spans="1:11" x14ac:dyDescent="0.3">
      <c r="C14" s="45" t="s">
        <v>37</v>
      </c>
      <c r="D14" s="45"/>
      <c r="E14" t="s">
        <v>50</v>
      </c>
      <c r="F14" t="s">
        <v>72</v>
      </c>
      <c r="G14" t="s">
        <v>116</v>
      </c>
      <c r="H14" t="str">
        <f t="shared" si="0"/>
        <v>ws..Budget.cell D16 .value</v>
      </c>
      <c r="I14" t="str">
        <f t="shared" si="1"/>
        <v>ws.YearSpendatures.cell B13 .value</v>
      </c>
      <c r="K14" t="str">
        <f t="shared" si="2"/>
        <v>ws.YearSpendatures.cell B13 .value = ws..Budget.cell D16 .value</v>
      </c>
    </row>
    <row r="15" spans="1:11" x14ac:dyDescent="0.3">
      <c r="C15" s="45" t="s">
        <v>9</v>
      </c>
      <c r="D15" s="45"/>
      <c r="E15" t="s">
        <v>51</v>
      </c>
      <c r="F15" t="s">
        <v>73</v>
      </c>
      <c r="G15" t="s">
        <v>117</v>
      </c>
      <c r="H15" t="str">
        <f t="shared" si="0"/>
        <v>ws..Budget.cell D17 .value</v>
      </c>
      <c r="I15" t="str">
        <f t="shared" si="1"/>
        <v>ws.YearSpendatures.cell B14 .value</v>
      </c>
      <c r="K15" t="str">
        <f t="shared" si="2"/>
        <v>ws.YearSpendatures.cell B14 .value = ws..Budget.cell D17 .value</v>
      </c>
    </row>
    <row r="16" spans="1:11" x14ac:dyDescent="0.3">
      <c r="C16" s="45" t="s">
        <v>38</v>
      </c>
      <c r="D16" s="45"/>
      <c r="E16" t="s">
        <v>52</v>
      </c>
      <c r="F16" t="s">
        <v>74</v>
      </c>
      <c r="G16" t="s">
        <v>118</v>
      </c>
      <c r="H16" t="str">
        <f t="shared" si="0"/>
        <v>ws..Budget.cell D18 .value</v>
      </c>
      <c r="I16" t="str">
        <f t="shared" si="1"/>
        <v>ws.YearSpendatures.cell B15 .value</v>
      </c>
      <c r="K16" t="str">
        <f t="shared" si="2"/>
        <v>ws.YearSpendatures.cell B15 .value = ws..Budget.cell D18 .value</v>
      </c>
    </row>
    <row r="17" spans="3:11" x14ac:dyDescent="0.3">
      <c r="C17" s="56"/>
      <c r="D17" s="57"/>
    </row>
    <row r="18" spans="3:11" x14ac:dyDescent="0.3">
      <c r="C18" s="45" t="s">
        <v>6</v>
      </c>
      <c r="D18" s="45"/>
      <c r="E18" t="s">
        <v>53</v>
      </c>
      <c r="F18" t="s">
        <v>75</v>
      </c>
      <c r="G18" t="s">
        <v>119</v>
      </c>
      <c r="H18" t="str">
        <f t="shared" si="0"/>
        <v>ws..Budget.cell D20 .value</v>
      </c>
      <c r="I18" t="str">
        <f t="shared" si="1"/>
        <v>ws.YearSpendatures.cell B16 .value</v>
      </c>
      <c r="K18" t="str">
        <f t="shared" si="2"/>
        <v>ws.YearSpendatures.cell B16 .value = ws..Budget.cell D20 .value</v>
      </c>
    </row>
    <row r="19" spans="3:11" x14ac:dyDescent="0.3">
      <c r="C19" s="45" t="s">
        <v>7</v>
      </c>
      <c r="D19" s="45"/>
      <c r="E19" t="s">
        <v>54</v>
      </c>
      <c r="F19" t="s">
        <v>76</v>
      </c>
      <c r="G19" t="s">
        <v>120</v>
      </c>
      <c r="H19" t="str">
        <f t="shared" si="0"/>
        <v>ws..Budget.cell D21 .value</v>
      </c>
      <c r="I19" t="str">
        <f t="shared" si="1"/>
        <v>ws.YearSpendatures.cell B17 .value</v>
      </c>
      <c r="K19" t="str">
        <f t="shared" si="2"/>
        <v>ws.YearSpendatures.cell B17 .value = ws..Budget.cell D21 .value</v>
      </c>
    </row>
    <row r="20" spans="3:11" x14ac:dyDescent="0.3">
      <c r="C20" s="45" t="s">
        <v>8</v>
      </c>
      <c r="D20" s="45"/>
      <c r="E20" t="s">
        <v>55</v>
      </c>
      <c r="F20" t="s">
        <v>77</v>
      </c>
      <c r="G20" t="s">
        <v>121</v>
      </c>
      <c r="H20" t="str">
        <f t="shared" si="0"/>
        <v>ws..Budget.cell D22 .value</v>
      </c>
      <c r="I20" t="str">
        <f t="shared" si="1"/>
        <v>ws.YearSpendatures.cell B18 .value</v>
      </c>
      <c r="K20" t="str">
        <f t="shared" si="2"/>
        <v>ws.YearSpendatures.cell B18 .value = ws..Budget.cell D22 .value</v>
      </c>
    </row>
    <row r="21" spans="3:11" x14ac:dyDescent="0.3">
      <c r="C21" s="56"/>
      <c r="D21" s="57"/>
    </row>
    <row r="22" spans="3:11" x14ac:dyDescent="0.3">
      <c r="C22" s="45" t="s">
        <v>15</v>
      </c>
      <c r="D22" s="45"/>
      <c r="E22" t="s">
        <v>56</v>
      </c>
      <c r="F22" t="s">
        <v>78</v>
      </c>
      <c r="G22" t="s">
        <v>122</v>
      </c>
      <c r="H22" t="str">
        <f t="shared" si="0"/>
        <v>ws..Budget.cell D24 .value</v>
      </c>
      <c r="I22" t="str">
        <f t="shared" si="1"/>
        <v>ws.YearSpendatures.cell B19 .value</v>
      </c>
      <c r="K22" t="str">
        <f t="shared" si="2"/>
        <v>ws.YearSpendatures.cell B19 .value = ws..Budget.cell D24 .value</v>
      </c>
    </row>
    <row r="23" spans="3:11" x14ac:dyDescent="0.3">
      <c r="C23" s="45" t="s">
        <v>59</v>
      </c>
      <c r="D23" s="45"/>
      <c r="E23" t="s">
        <v>58</v>
      </c>
      <c r="F23" t="s">
        <v>79</v>
      </c>
      <c r="G23" t="s">
        <v>123</v>
      </c>
      <c r="H23" t="str">
        <f t="shared" si="0"/>
        <v>ws..Budget.cell D25 .value</v>
      </c>
      <c r="I23" t="str">
        <f t="shared" si="1"/>
        <v>ws.YearSpendatures.cell B20 .value</v>
      </c>
      <c r="K23" t="str">
        <f t="shared" si="2"/>
        <v>ws.YearSpendatures.cell B20 .value = ws..Budget.cell D25 .value</v>
      </c>
    </row>
    <row r="24" spans="3:11" x14ac:dyDescent="0.3">
      <c r="C24" s="45" t="s">
        <v>11</v>
      </c>
      <c r="D24" s="45"/>
      <c r="E24" t="s">
        <v>57</v>
      </c>
      <c r="F24" t="s">
        <v>80</v>
      </c>
      <c r="G24" t="s">
        <v>124</v>
      </c>
      <c r="H24" t="str">
        <f t="shared" si="0"/>
        <v>ws..Budget.cell D26 .value</v>
      </c>
      <c r="I24" t="str">
        <f t="shared" si="1"/>
        <v>ws.YearSpendatures.cell B21 .value</v>
      </c>
      <c r="K24" t="str">
        <f t="shared" si="2"/>
        <v>ws.YearSpendatures.cell B21 .value = ws..Budget.cell D26 .value</v>
      </c>
    </row>
    <row r="25" spans="3:11" x14ac:dyDescent="0.3">
      <c r="C25" s="56"/>
      <c r="D25" s="57"/>
    </row>
    <row r="26" spans="3:11" x14ac:dyDescent="0.3">
      <c r="C26" s="45" t="s">
        <v>12</v>
      </c>
      <c r="D26" s="45"/>
      <c r="E26" t="s">
        <v>60</v>
      </c>
      <c r="F26" t="s">
        <v>81</v>
      </c>
      <c r="G26" t="s">
        <v>125</v>
      </c>
      <c r="H26" t="str">
        <f t="shared" si="0"/>
        <v>ws..Budget.cell D28 .value</v>
      </c>
      <c r="I26" t="str">
        <f t="shared" si="1"/>
        <v>ws.YearSpendatures.cell B22 .value</v>
      </c>
      <c r="K26" t="str">
        <f t="shared" si="2"/>
        <v>ws.YearSpendatures.cell B22 .value = ws..Budget.cell D28 .value</v>
      </c>
    </row>
    <row r="27" spans="3:11" x14ac:dyDescent="0.3">
      <c r="C27" s="45" t="s">
        <v>13</v>
      </c>
      <c r="D27" s="45"/>
      <c r="E27" t="s">
        <v>61</v>
      </c>
      <c r="F27" t="s">
        <v>82</v>
      </c>
      <c r="G27" t="s">
        <v>126</v>
      </c>
      <c r="H27" t="str">
        <f t="shared" si="0"/>
        <v>ws..Budget.cell D29 .value</v>
      </c>
      <c r="I27" t="str">
        <f t="shared" si="1"/>
        <v>ws.YearSpendatures.cell B23 .value</v>
      </c>
      <c r="K27" t="str">
        <f t="shared" si="2"/>
        <v>ws.YearSpendatures.cell B23 .value = ws..Budget.cell D29 .value</v>
      </c>
    </row>
    <row r="28" spans="3:11" x14ac:dyDescent="0.3">
      <c r="C28" s="45" t="s">
        <v>14</v>
      </c>
      <c r="D28" s="45"/>
      <c r="E28" t="s">
        <v>62</v>
      </c>
      <c r="F28" t="s">
        <v>83</v>
      </c>
      <c r="G28" t="s">
        <v>127</v>
      </c>
      <c r="H28" t="str">
        <f t="shared" si="0"/>
        <v>ws..Budget.cell D30 .value</v>
      </c>
      <c r="I28" t="str">
        <f t="shared" si="1"/>
        <v>ws.YearSpendatures.cell B24 .value</v>
      </c>
      <c r="K28" t="str">
        <f t="shared" si="2"/>
        <v>ws.YearSpendatures.cell B24 .value = ws..Budget.cell D30 .value</v>
      </c>
    </row>
    <row r="29" spans="3:11" x14ac:dyDescent="0.3">
      <c r="C29" s="58" t="s">
        <v>16</v>
      </c>
      <c r="D29" s="58"/>
    </row>
    <row r="32" spans="3:11" x14ac:dyDescent="0.3">
      <c r="C32" t="s">
        <v>128</v>
      </c>
      <c r="D32" t="s">
        <v>129</v>
      </c>
      <c r="E32" s="33"/>
    </row>
    <row r="33" spans="3:3" x14ac:dyDescent="0.3">
      <c r="C33" t="s">
        <v>131</v>
      </c>
    </row>
  </sheetData>
  <mergeCells count="27">
    <mergeCell ref="C29:D29"/>
    <mergeCell ref="C25:D25"/>
    <mergeCell ref="C26:D26"/>
    <mergeCell ref="C27:D27"/>
    <mergeCell ref="C28:D28"/>
    <mergeCell ref="C21:D21"/>
    <mergeCell ref="C22:D22"/>
    <mergeCell ref="C23:D23"/>
    <mergeCell ref="C24:D24"/>
    <mergeCell ref="C15:D15"/>
    <mergeCell ref="C16:D16"/>
    <mergeCell ref="C17:D17"/>
    <mergeCell ref="C18:D18"/>
    <mergeCell ref="C19:D19"/>
    <mergeCell ref="C20:D20"/>
    <mergeCell ref="C14:D14"/>
    <mergeCell ref="C1:D1"/>
    <mergeCell ref="C2:D2"/>
    <mergeCell ref="C3:D3"/>
    <mergeCell ref="C4:D4"/>
    <mergeCell ref="C5:D5"/>
    <mergeCell ref="C6:D6"/>
    <mergeCell ref="C7:D7"/>
    <mergeCell ref="C8:D8"/>
    <mergeCell ref="C10:D10"/>
    <mergeCell ref="C11:D11"/>
    <mergeCell ref="C12:D1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BAC3F-6EF3-409A-AF0A-CDF640923634}">
  <sheetPr codeName="Sheet3"/>
  <dimension ref="B1:P25"/>
  <sheetViews>
    <sheetView showGridLines="0" workbookViewId="0">
      <selection activeCell="B1" sqref="B1:C1"/>
    </sheetView>
  </sheetViews>
  <sheetFormatPr defaultRowHeight="14.4" x14ac:dyDescent="0.3"/>
  <cols>
    <col min="1" max="1" width="3.5546875" customWidth="1"/>
    <col min="2" max="2" width="32.33203125" customWidth="1"/>
    <col min="3" max="3" width="1.109375" customWidth="1"/>
    <col min="4" max="4" width="9" bestFit="1" customWidth="1"/>
    <col min="5" max="5" width="9.6640625" bestFit="1" customWidth="1"/>
    <col min="6" max="15" width="9" bestFit="1" customWidth="1"/>
    <col min="16" max="16" width="9.6640625" bestFit="1" customWidth="1"/>
  </cols>
  <sheetData>
    <row r="1" spans="2:16" x14ac:dyDescent="0.3">
      <c r="B1" s="59" t="s">
        <v>0</v>
      </c>
      <c r="C1" s="59"/>
      <c r="D1" s="29" t="s">
        <v>19</v>
      </c>
      <c r="E1" s="29" t="s">
        <v>20</v>
      </c>
      <c r="F1" s="39" t="s">
        <v>21</v>
      </c>
      <c r="G1" s="39" t="s">
        <v>22</v>
      </c>
      <c r="H1" s="39" t="s">
        <v>23</v>
      </c>
      <c r="I1" s="39" t="s">
        <v>24</v>
      </c>
      <c r="J1" s="39" t="s">
        <v>25</v>
      </c>
      <c r="K1" s="39" t="s">
        <v>26</v>
      </c>
      <c r="L1" s="39" t="s">
        <v>27</v>
      </c>
      <c r="M1" s="39" t="s">
        <v>28</v>
      </c>
      <c r="N1" s="39" t="s">
        <v>29</v>
      </c>
      <c r="O1" s="39" t="s">
        <v>30</v>
      </c>
      <c r="P1" s="29" t="s">
        <v>106</v>
      </c>
    </row>
    <row r="2" spans="2:16" x14ac:dyDescent="0.3">
      <c r="B2" s="25" t="s">
        <v>84</v>
      </c>
      <c r="C2" s="20"/>
      <c r="D2" s="27">
        <v>3157.4</v>
      </c>
      <c r="E2" s="27">
        <v>3157.4</v>
      </c>
      <c r="F2" s="27">
        <v>3157.4</v>
      </c>
      <c r="G2" s="27">
        <v>3157.4</v>
      </c>
      <c r="H2" s="27">
        <v>3157.4</v>
      </c>
      <c r="I2" s="27">
        <v>3157.4</v>
      </c>
      <c r="J2" s="27">
        <v>3157.4</v>
      </c>
      <c r="K2" s="27"/>
      <c r="L2" s="27"/>
      <c r="M2" s="27"/>
      <c r="N2" s="27"/>
      <c r="O2" s="27"/>
      <c r="P2" s="28">
        <f t="shared" ref="P2:P4" si="0">SUM($D2:$O2)</f>
        <v>22101.800000000003</v>
      </c>
    </row>
    <row r="3" spans="2:16" x14ac:dyDescent="0.3">
      <c r="B3" s="25" t="s">
        <v>85</v>
      </c>
      <c r="C3" s="20"/>
      <c r="D3" s="27">
        <v>2963.65</v>
      </c>
      <c r="E3" s="27">
        <v>2963.65</v>
      </c>
      <c r="F3" s="27">
        <v>2963.65</v>
      </c>
      <c r="G3" s="27">
        <v>2963.65</v>
      </c>
      <c r="H3" s="27">
        <v>2963.65</v>
      </c>
      <c r="I3" s="27">
        <v>2963.65</v>
      </c>
      <c r="J3" s="27">
        <v>2963.65</v>
      </c>
      <c r="K3" s="27"/>
      <c r="L3" s="27"/>
      <c r="M3" s="27"/>
      <c r="N3" s="27"/>
      <c r="O3" s="27"/>
      <c r="P3" s="28">
        <f t="shared" si="0"/>
        <v>20745.550000000003</v>
      </c>
    </row>
    <row r="4" spans="2:16" x14ac:dyDescent="0.3">
      <c r="B4" s="25" t="s">
        <v>86</v>
      </c>
      <c r="C4" s="20"/>
      <c r="D4" s="27">
        <v>300</v>
      </c>
      <c r="E4" s="27">
        <v>300</v>
      </c>
      <c r="F4" s="27">
        <v>300</v>
      </c>
      <c r="G4" s="27">
        <v>300</v>
      </c>
      <c r="H4" s="27">
        <v>300</v>
      </c>
      <c r="I4" s="27">
        <v>300</v>
      </c>
      <c r="J4" s="27">
        <v>300</v>
      </c>
      <c r="K4" s="27"/>
      <c r="L4" s="27"/>
      <c r="M4" s="27"/>
      <c r="N4" s="27"/>
      <c r="O4" s="27"/>
      <c r="P4" s="28">
        <f t="shared" si="0"/>
        <v>2100</v>
      </c>
    </row>
    <row r="5" spans="2:16" x14ac:dyDescent="0.3">
      <c r="B5" s="59" t="s">
        <v>2</v>
      </c>
      <c r="C5" s="59"/>
      <c r="D5" s="28">
        <f>SUM(D2:D4)</f>
        <v>6421.05</v>
      </c>
      <c r="E5" s="28">
        <f t="shared" ref="E5:O5" si="1">SUM(E2:E4)</f>
        <v>6421.05</v>
      </c>
      <c r="F5" s="28">
        <f t="shared" si="1"/>
        <v>6421.05</v>
      </c>
      <c r="G5" s="28">
        <f t="shared" si="1"/>
        <v>6421.05</v>
      </c>
      <c r="H5" s="28">
        <f t="shared" si="1"/>
        <v>6421.05</v>
      </c>
      <c r="I5" s="28">
        <f t="shared" si="1"/>
        <v>6421.05</v>
      </c>
      <c r="J5" s="28">
        <f t="shared" si="1"/>
        <v>6421.05</v>
      </c>
      <c r="K5" s="28">
        <f t="shared" si="1"/>
        <v>0</v>
      </c>
      <c r="L5" s="28">
        <f t="shared" si="1"/>
        <v>0</v>
      </c>
      <c r="M5" s="28">
        <f t="shared" si="1"/>
        <v>0</v>
      </c>
      <c r="N5" s="28">
        <f t="shared" si="1"/>
        <v>0</v>
      </c>
      <c r="O5" s="28">
        <f t="shared" si="1"/>
        <v>0</v>
      </c>
      <c r="P5" s="28">
        <f>SUM($D5:$O5)</f>
        <v>44947.350000000006</v>
      </c>
    </row>
    <row r="6" spans="2:16" x14ac:dyDescent="0.3">
      <c r="B6" s="30" t="s">
        <v>3</v>
      </c>
      <c r="C6" s="30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28">
        <f t="shared" ref="P6:P25" si="2">SUM($D6:$O6)</f>
        <v>0</v>
      </c>
    </row>
    <row r="7" spans="2:16" x14ac:dyDescent="0.3">
      <c r="B7" s="20" t="s">
        <v>87</v>
      </c>
      <c r="C7" s="20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8">
        <f t="shared" si="2"/>
        <v>0</v>
      </c>
    </row>
    <row r="8" spans="2:16" x14ac:dyDescent="0.3">
      <c r="B8" s="20" t="s">
        <v>88</v>
      </c>
      <c r="C8" s="20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8">
        <f t="shared" si="2"/>
        <v>0</v>
      </c>
    </row>
    <row r="9" spans="2:16" x14ac:dyDescent="0.3">
      <c r="B9" s="20" t="s">
        <v>89</v>
      </c>
      <c r="C9" s="20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8">
        <f t="shared" si="2"/>
        <v>0</v>
      </c>
    </row>
    <row r="10" spans="2:16" x14ac:dyDescent="0.3">
      <c r="B10" s="20" t="s">
        <v>90</v>
      </c>
      <c r="C10" s="20"/>
      <c r="D10" s="27">
        <v>2961.68</v>
      </c>
      <c r="E10" s="27">
        <v>2961.68</v>
      </c>
      <c r="F10" s="27">
        <v>2961.68</v>
      </c>
      <c r="G10" s="27">
        <v>2961.68</v>
      </c>
      <c r="H10" s="27">
        <v>2961.68</v>
      </c>
      <c r="I10" s="27">
        <v>2961.68</v>
      </c>
      <c r="J10" s="27">
        <v>2961.68</v>
      </c>
      <c r="K10" s="27"/>
      <c r="L10" s="27"/>
      <c r="M10" s="27"/>
      <c r="N10" s="27"/>
      <c r="O10" s="27"/>
      <c r="P10" s="28">
        <f t="shared" si="2"/>
        <v>20731.759999999998</v>
      </c>
    </row>
    <row r="11" spans="2:16" x14ac:dyDescent="0.3">
      <c r="B11" s="20" t="s">
        <v>91</v>
      </c>
      <c r="C11" s="20"/>
      <c r="D11" s="27">
        <v>305</v>
      </c>
      <c r="E11" s="27">
        <v>305</v>
      </c>
      <c r="F11" s="27">
        <v>305</v>
      </c>
      <c r="G11" s="27">
        <v>305</v>
      </c>
      <c r="H11" s="27">
        <v>305</v>
      </c>
      <c r="I11" s="27">
        <v>305</v>
      </c>
      <c r="J11" s="27">
        <v>305</v>
      </c>
      <c r="K11" s="27"/>
      <c r="L11" s="27"/>
      <c r="M11" s="27"/>
      <c r="N11" s="27"/>
      <c r="O11" s="27"/>
      <c r="P11" s="28">
        <f t="shared" si="2"/>
        <v>2135</v>
      </c>
    </row>
    <row r="12" spans="2:16" x14ac:dyDescent="0.3">
      <c r="B12" s="20" t="s">
        <v>92</v>
      </c>
      <c r="C12" s="20"/>
      <c r="D12" s="27">
        <v>34.75</v>
      </c>
      <c r="E12" s="27">
        <v>34.75</v>
      </c>
      <c r="F12" s="27">
        <v>34.75</v>
      </c>
      <c r="G12" s="27">
        <v>34.75</v>
      </c>
      <c r="H12" s="27">
        <v>34.75</v>
      </c>
      <c r="I12" s="27">
        <v>34.75</v>
      </c>
      <c r="J12" s="27">
        <v>34.75</v>
      </c>
      <c r="K12" s="27"/>
      <c r="L12" s="27"/>
      <c r="M12" s="27"/>
      <c r="N12" s="27"/>
      <c r="O12" s="27"/>
      <c r="P12" s="28">
        <f t="shared" si="2"/>
        <v>243.25</v>
      </c>
    </row>
    <row r="13" spans="2:16" x14ac:dyDescent="0.3">
      <c r="B13" s="20" t="s">
        <v>93</v>
      </c>
      <c r="C13" s="20"/>
      <c r="D13" s="27">
        <v>80</v>
      </c>
      <c r="E13" s="27">
        <v>80</v>
      </c>
      <c r="F13" s="27">
        <v>80</v>
      </c>
      <c r="G13" s="27">
        <v>80</v>
      </c>
      <c r="H13" s="27">
        <v>80</v>
      </c>
      <c r="I13" s="27">
        <v>80</v>
      </c>
      <c r="J13" s="27">
        <v>80</v>
      </c>
      <c r="K13" s="27"/>
      <c r="L13" s="27"/>
      <c r="M13" s="27"/>
      <c r="N13" s="27"/>
      <c r="O13" s="27"/>
      <c r="P13" s="28">
        <f t="shared" si="2"/>
        <v>560</v>
      </c>
    </row>
    <row r="14" spans="2:16" x14ac:dyDescent="0.3">
      <c r="B14" s="20" t="s">
        <v>94</v>
      </c>
      <c r="C14" s="20"/>
      <c r="D14" s="27">
        <v>132.09</v>
      </c>
      <c r="E14" s="27">
        <v>132.09</v>
      </c>
      <c r="F14" s="27">
        <v>132.09</v>
      </c>
      <c r="G14" s="27">
        <v>132.09</v>
      </c>
      <c r="H14" s="27">
        <v>132.09</v>
      </c>
      <c r="I14" s="27">
        <v>132.09</v>
      </c>
      <c r="J14" s="27">
        <v>132.09</v>
      </c>
      <c r="K14" s="27"/>
      <c r="L14" s="27"/>
      <c r="M14" s="27"/>
      <c r="N14" s="27"/>
      <c r="O14" s="27"/>
      <c r="P14" s="28">
        <f t="shared" si="2"/>
        <v>924.63000000000011</v>
      </c>
    </row>
    <row r="15" spans="2:16" x14ac:dyDescent="0.3">
      <c r="B15" s="20" t="s">
        <v>95</v>
      </c>
      <c r="C15" s="20"/>
      <c r="D15" s="27">
        <v>1152</v>
      </c>
      <c r="E15" s="27">
        <v>1152</v>
      </c>
      <c r="F15" s="27">
        <v>1152</v>
      </c>
      <c r="G15" s="27">
        <v>1152</v>
      </c>
      <c r="H15" s="27">
        <v>1152</v>
      </c>
      <c r="I15" s="27">
        <v>1152</v>
      </c>
      <c r="J15" s="27">
        <v>1152</v>
      </c>
      <c r="K15" s="27"/>
      <c r="L15" s="27"/>
      <c r="M15" s="27"/>
      <c r="N15" s="27"/>
      <c r="O15" s="27"/>
      <c r="P15" s="28">
        <f t="shared" si="2"/>
        <v>8064</v>
      </c>
    </row>
    <row r="16" spans="2:16" x14ac:dyDescent="0.3">
      <c r="B16" s="20" t="s">
        <v>96</v>
      </c>
      <c r="C16" s="20"/>
      <c r="D16" s="27">
        <v>400</v>
      </c>
      <c r="E16" s="27">
        <v>400</v>
      </c>
      <c r="F16" s="27">
        <v>400</v>
      </c>
      <c r="G16" s="27">
        <v>400</v>
      </c>
      <c r="H16" s="27">
        <v>400</v>
      </c>
      <c r="I16" s="27">
        <v>400</v>
      </c>
      <c r="J16" s="27">
        <v>400</v>
      </c>
      <c r="K16" s="27"/>
      <c r="L16" s="27"/>
      <c r="M16" s="27"/>
      <c r="N16" s="27"/>
      <c r="O16" s="27"/>
      <c r="P16" s="28">
        <f t="shared" si="2"/>
        <v>2800</v>
      </c>
    </row>
    <row r="17" spans="2:16" x14ac:dyDescent="0.3">
      <c r="B17" s="20" t="s">
        <v>97</v>
      </c>
      <c r="C17" s="20"/>
      <c r="D17" s="27">
        <v>583</v>
      </c>
      <c r="E17" s="27">
        <v>583</v>
      </c>
      <c r="F17" s="27">
        <v>583</v>
      </c>
      <c r="G17" s="27">
        <v>583</v>
      </c>
      <c r="H17" s="27">
        <v>583</v>
      </c>
      <c r="I17" s="27">
        <v>583</v>
      </c>
      <c r="J17" s="27">
        <v>583</v>
      </c>
      <c r="K17" s="27"/>
      <c r="L17" s="27"/>
      <c r="M17" s="27"/>
      <c r="N17" s="27"/>
      <c r="O17" s="27"/>
      <c r="P17" s="28">
        <f t="shared" si="2"/>
        <v>4081</v>
      </c>
    </row>
    <row r="18" spans="2:16" x14ac:dyDescent="0.3">
      <c r="B18" s="20" t="s">
        <v>98</v>
      </c>
      <c r="C18" s="20"/>
      <c r="D18" s="27">
        <v>80</v>
      </c>
      <c r="E18" s="27">
        <v>80</v>
      </c>
      <c r="F18" s="27">
        <v>80</v>
      </c>
      <c r="G18" s="27">
        <v>80</v>
      </c>
      <c r="H18" s="27">
        <v>80</v>
      </c>
      <c r="I18" s="27">
        <v>80</v>
      </c>
      <c r="J18" s="27">
        <v>80</v>
      </c>
      <c r="K18" s="27"/>
      <c r="L18" s="27"/>
      <c r="M18" s="27"/>
      <c r="N18" s="27"/>
      <c r="O18" s="27"/>
      <c r="P18" s="28">
        <f t="shared" si="2"/>
        <v>560</v>
      </c>
    </row>
    <row r="19" spans="2:16" x14ac:dyDescent="0.3">
      <c r="B19" s="20" t="s">
        <v>99</v>
      </c>
      <c r="C19" s="20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8">
        <f t="shared" si="2"/>
        <v>0</v>
      </c>
    </row>
    <row r="20" spans="2:16" x14ac:dyDescent="0.3">
      <c r="B20" s="20" t="s">
        <v>100</v>
      </c>
      <c r="C20" s="20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8">
        <f t="shared" si="2"/>
        <v>0</v>
      </c>
    </row>
    <row r="21" spans="2:16" x14ac:dyDescent="0.3">
      <c r="B21" s="20" t="s">
        <v>101</v>
      </c>
      <c r="C21" s="20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8">
        <f t="shared" si="2"/>
        <v>0</v>
      </c>
    </row>
    <row r="22" spans="2:16" x14ac:dyDescent="0.3">
      <c r="B22" s="20" t="s">
        <v>102</v>
      </c>
      <c r="C22" s="20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8">
        <f t="shared" si="2"/>
        <v>0</v>
      </c>
    </row>
    <row r="23" spans="2:16" x14ac:dyDescent="0.3">
      <c r="B23" s="20" t="s">
        <v>103</v>
      </c>
      <c r="C23" s="20"/>
      <c r="D23" s="27">
        <v>62.8</v>
      </c>
      <c r="E23" s="27">
        <v>62.8</v>
      </c>
      <c r="F23" s="27">
        <v>62.8</v>
      </c>
      <c r="G23" s="27">
        <v>62.8</v>
      </c>
      <c r="H23" s="27">
        <v>62.8</v>
      </c>
      <c r="I23" s="27">
        <v>62.8</v>
      </c>
      <c r="J23" s="27">
        <v>62.8</v>
      </c>
      <c r="K23" s="27"/>
      <c r="L23" s="27"/>
      <c r="M23" s="27"/>
      <c r="N23" s="27"/>
      <c r="O23" s="27"/>
      <c r="P23" s="28">
        <f t="shared" si="2"/>
        <v>439.6</v>
      </c>
    </row>
    <row r="24" spans="2:16" x14ac:dyDescent="0.3">
      <c r="B24" s="20" t="s">
        <v>104</v>
      </c>
      <c r="C24" s="20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8">
        <f t="shared" si="2"/>
        <v>0</v>
      </c>
    </row>
    <row r="25" spans="2:16" x14ac:dyDescent="0.3">
      <c r="B25" s="59" t="s">
        <v>105</v>
      </c>
      <c r="C25" s="59"/>
      <c r="D25" s="28">
        <f>SUM(D7:D24)</f>
        <v>5791.3200000000006</v>
      </c>
      <c r="E25" s="28">
        <f t="shared" ref="E25:O25" si="3">SUM(E7:E24)</f>
        <v>5791.3200000000006</v>
      </c>
      <c r="F25" s="28">
        <f t="shared" si="3"/>
        <v>5791.3200000000006</v>
      </c>
      <c r="G25" s="28">
        <f t="shared" si="3"/>
        <v>5791.3200000000006</v>
      </c>
      <c r="H25" s="28">
        <f t="shared" si="3"/>
        <v>5791.3200000000006</v>
      </c>
      <c r="I25" s="28">
        <f t="shared" si="3"/>
        <v>5791.3200000000006</v>
      </c>
      <c r="J25" s="28">
        <f t="shared" si="3"/>
        <v>5791.3200000000006</v>
      </c>
      <c r="K25" s="28">
        <f t="shared" si="3"/>
        <v>0</v>
      </c>
      <c r="L25" s="28">
        <f t="shared" si="3"/>
        <v>0</v>
      </c>
      <c r="M25" s="28">
        <f t="shared" si="3"/>
        <v>0</v>
      </c>
      <c r="N25" s="28">
        <f t="shared" si="3"/>
        <v>0</v>
      </c>
      <c r="O25" s="28">
        <f t="shared" si="3"/>
        <v>0</v>
      </c>
      <c r="P25" s="28">
        <f t="shared" si="2"/>
        <v>40539.240000000005</v>
      </c>
    </row>
  </sheetData>
  <mergeCells count="3">
    <mergeCell ref="B25:C25"/>
    <mergeCell ref="B5:C5"/>
    <mergeCell ref="B1:C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Budget</vt:lpstr>
      <vt:lpstr>form controls</vt:lpstr>
      <vt:lpstr>YearSpendatures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Todd Martin</dc:creator>
  <cp:lastModifiedBy>Todd Martin</cp:lastModifiedBy>
  <dcterms:created xsi:type="dcterms:W3CDTF">2024-02-25T22:27:44Z</dcterms:created>
  <dcterms:modified xsi:type="dcterms:W3CDTF">2025-07-18T01:52:53Z</dcterms:modified>
</cp:coreProperties>
</file>